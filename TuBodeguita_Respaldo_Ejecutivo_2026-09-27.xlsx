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esumen_General" sheetId="2" r:id="rId2"/>
    <sheet name="Inventario_Productos" sheetId="3" r:id="rId3"/>
    <sheet name="Clientes_CuentasCobrar" sheetId="4" r:id="rId4"/>
    <sheet name="Cuentas_Bancarias" sheetId="5" r:id="rId5"/>
    <sheet name="Ventas_Historial" sheetId="6" r:id="rId6"/>
    <sheet name="Pagos_Abonos" sheetId="7" r:id="rId7"/>
    <sheet name="Transacciones_Verificar" sheetId="8" r:id="rId8"/>
    <sheet name="Puntos_Fidelizacion" sheetId="9" r:id="rId9"/>
    <sheet name="Canjes_Premios" sheetId="10" r:id="rId10"/>
    <sheet name="Facturas_Compras" sheetId="11" r:id="rId11"/>
    <sheet name="Proveedores" sheetId="12" r:id="rId12"/>
    <sheet name="Kardex_Movimientos" sheetId="13" r:id="rId13"/>
    <sheet name="Auditorias_Inventario" sheetId="14" r:id="rId14"/>
    <sheet name="Mermas_Bajas" sheetId="15" r:id="rId15"/>
    <sheet name="Usuarios_Sistema" sheetId="16" r:id="rId16"/>
  </sheets>
  <definedNames>
    <definedName name="_xlnm.Print_Titles" localSheetId="1">'Resumen_General'!$1:$1</definedName>
    <definedName name="_xlnm.Print_Titles" localSheetId="2">'Inventario_Productos'!$1:$1</definedName>
    <definedName name="_xlnm.Print_Titles" localSheetId="3">'Clientes_CuentasCobrar'!$1:$1</definedName>
    <definedName name="_xlnm.Print_Titles" localSheetId="4">'Cuentas_Bancarias'!$1:$1</definedName>
    <definedName name="_xlnm.Print_Titles" localSheetId="5">'Ventas_Historial'!$1:$1</definedName>
    <definedName name="_xlnm.Print_Titles" localSheetId="6">'Pagos_Abonos'!$1:$1</definedName>
    <definedName name="_xlnm.Print_Titles" localSheetId="7">'Transacciones_Verificar'!$1:$1</definedName>
    <definedName name="_xlnm.Print_Titles" localSheetId="8">'Puntos_Fidelizacion'!$1:$1</definedName>
    <definedName name="_xlnm.Print_Titles" localSheetId="9">'Canjes_Premios'!$1:$1</definedName>
    <definedName name="_xlnm.Print_Titles" localSheetId="10">'Facturas_Compras'!$1:$1</definedName>
    <definedName name="_xlnm.Print_Titles" localSheetId="11">'Proveedores'!$1:$1</definedName>
    <definedName name="_xlnm.Print_Titles" localSheetId="12">'Kardex_Movimientos'!$1:$1</definedName>
    <definedName name="_xlnm.Print_Titles" localSheetId="13">'Auditorias_Inventario'!$1:$1</definedName>
    <definedName name="_xlnm.Print_Titles" localSheetId="14">'Mermas_Bajas'!$1:$1</definedName>
    <definedName name="_xlnm.Print_Titles" localSheetId="15">'Usuarios_Sistema'!$1:$1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8">
    <numFmt numFmtId="165" formatCode="$#,##0.00"/>
    <numFmt numFmtId="166" formatCode="$#,##0.00"/>
    <numFmt numFmtId="167" formatCode="Bs. #,##0.00"/>
    <numFmt numFmtId="168" formatCode="0.0%"/>
    <numFmt numFmtId="169" formatCode="Bs. #,##0.00"/>
    <numFmt numFmtId="170" formatCode="$#,##0.00"/>
    <numFmt numFmtId="171" formatCode="$#,##0.00"/>
    <numFmt numFmtId="172" formatCode="0.0%"/>
    <numFmt numFmtId="173" formatCode="$#,##0.00"/>
    <numFmt numFmtId="174" formatCode="0.0%"/>
    <numFmt numFmtId="175" formatCode="$#,##0.00"/>
    <numFmt numFmtId="176" formatCode="$#,##0.00"/>
    <numFmt numFmtId="177" formatCode="Bs. #,##0.00"/>
    <numFmt numFmtId="178" formatCode="Bs. #,##0.00"/>
    <numFmt numFmtId="179" formatCode="Bs. #,##0.00"/>
    <numFmt numFmtId="180" formatCode="$#,##0.00"/>
    <numFmt numFmtId="181" formatCode="$#,##0.00"/>
    <numFmt numFmtId="182" formatCode="0.0%"/>
  </numFmts>
  <fonts count="41" x14ac:knownFonts="1">
    <font>
      <sz val="11"/>
      <name val="Calibri"/>
    </font>
    <font>
      <sz val="11"/>
      <name val="Calibri"/>
    </font>
    <font>
      <sz val="15"/>
      <name val="Calibri"/>
      <b/>
      <color rgb="FFFFFF"/>
    </font>
    <font>
      <sz val="10"/>
      <name val="Calibri"/>
      <color rgb="E2E8F0"/>
    </font>
    <font>
      <sz val="10"/>
      <name val="Calibri"/>
      <b/>
      <color rgb="FFFFFF"/>
    </font>
    <font>
      <sz val="10"/>
      <name val="Calibri"/>
      <b/>
      <color rgb="FFFFFF"/>
    </font>
    <font>
      <sz val="9"/>
      <name val="Calibri"/>
      <color rgb="475569"/>
    </font>
    <font>
      <sz val="11"/>
      <name val="Calibri"/>
      <b/>
      <color rgb="1E3A8A"/>
    </font>
    <font>
      <sz val="9"/>
      <name val="Calibri"/>
      <color rgb="475569"/>
    </font>
    <font>
      <sz val="11"/>
      <name val="Calibri"/>
      <b/>
      <color rgb="1E3A8A"/>
    </font>
    <font>
      <sz val="11"/>
      <name val="Calibri"/>
      <b/>
      <color rgb="1E3A8A"/>
    </font>
    <font>
      <sz val="11"/>
      <name val="Calibri"/>
      <b/>
      <color rgb="1E3A8A"/>
    </font>
    <font>
      <sz val="11"/>
      <name val="Calibri"/>
      <b/>
      <color rgb="1E3A8A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b/>
      <color rgb="166534"/>
    </font>
    <font>
      <sz val="11"/>
      <name val="Calibri"/>
      <b/>
      <color rgb="0F172A"/>
    </font>
    <font>
      <sz val="11"/>
      <name val="Calibri"/>
      <b/>
      <color rgb="0F172A"/>
    </font>
    <font>
      <sz val="11"/>
      <name val="Calibri"/>
      <b/>
      <color rgb="0F172A"/>
    </font>
    <font>
      <sz val="11"/>
      <name val="Calibri"/>
      <b/>
      <color rgb="0F172A"/>
    </font>
    <font>
      <sz val="11"/>
      <name val="Calibri"/>
      <b/>
      <color rgb="0F172A"/>
    </font>
    <font>
      <sz val="11"/>
      <name val="Calibri"/>
      <b/>
      <color rgb="0F172A"/>
    </font>
    <font>
      <sz val="11"/>
      <name val="Calibri"/>
      <b/>
      <color rgb="0F172A"/>
    </font>
    <font>
      <sz val="11"/>
      <name val="Calibri"/>
      <b/>
      <color rgb="0F172A"/>
    </font>
    <font>
      <sz val="11"/>
      <name val="Calibri"/>
      <b/>
      <color rgb="0F172A"/>
    </font>
    <font>
      <sz val="11"/>
      <name val="Calibri"/>
      <b/>
      <color rgb="0F172A"/>
    </font>
    <font>
      <sz val="10"/>
      <name val="Calibri"/>
      <color rgb="0F172A"/>
    </font>
    <font>
      <sz val="11"/>
      <name val="Calibri"/>
      <b/>
      <color rgb="0F172A"/>
    </font>
    <font>
      <sz val="11"/>
      <name val="Calibri"/>
      <b/>
      <color rgb="0F172A"/>
    </font>
    <font>
      <sz val="11"/>
      <name val="Calibri"/>
      <b/>
      <color rgb="0F172A"/>
    </font>
  </fonts>
  <fills count="4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3A8A"/>
        <bgColor/>
      </patternFill>
    </fill>
    <fill>
      <patternFill patternType="solid">
        <fgColor rgb="FF0F172A"/>
        <bgColor/>
      </patternFill>
    </fill>
    <fill>
      <patternFill patternType="solid">
        <fgColor rgb="FF1E3A8A"/>
        <bgColor/>
      </patternFill>
    </fill>
    <fill>
      <patternFill patternType="solid">
        <fgColor rgb="FF1E3A8A"/>
        <bgColor/>
      </patternFill>
    </fill>
    <fill>
      <patternFill patternType="solid">
        <fgColor rgb="FFF8FAFC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1E3A8A"/>
        <bgColor/>
      </patternFill>
    </fill>
    <fill>
      <patternFill patternType="solid">
        <fgColor rgb="FF1E3A8A"/>
        <bgColor/>
      </patternFill>
    </fill>
    <fill>
      <patternFill patternType="solid">
        <fgColor rgb="FFF8FAF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DCFCE7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3B82F6"/>
      </left>
      <right style="thin">
        <color rgb="3B82F6"/>
      </right>
      <top style="medium">
        <color rgb="0F172A"/>
      </top>
      <bottom style="medium">
        <color rgb="0F172A"/>
      </bottom>
      <diagonal/>
    </border>
    <border>
      <left style="thin">
        <color rgb="3B82F6"/>
      </left>
      <right style="thin">
        <color rgb="3B82F6"/>
      </right>
      <top style="medium">
        <color rgb="0F172A"/>
      </top>
      <bottom style="medium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64748B"/>
      </top>
      <bottom style="double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64748B"/>
      </top>
      <bottom style="double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64748B"/>
      </top>
      <bottom style="double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64748B"/>
      </top>
      <bottom style="double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64748B"/>
      </top>
      <bottom style="double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64748B"/>
      </top>
      <bottom style="double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64748B"/>
      </top>
      <bottom style="double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64748B"/>
      </top>
      <bottom style="double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64748B"/>
      </top>
      <bottom style="double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64748B"/>
      </top>
      <bottom style="double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64748B"/>
      </top>
      <bottom style="double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64748B"/>
      </top>
      <bottom style="double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64748B"/>
      </top>
      <bottom style="double">
        <color rgb="0F172A"/>
      </bottom>
      <diagonal/>
    </border>
  </borders>
  <cellStyleXfs>
    <xf numFmtId="0" fontId="0" fillId="0" borderId="0"/>
  </cellStyleXfs>
  <cellXfs count="4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2" xfId="0" applyFont="1" applyFill="1" applyBorder="1"/>
    <xf numFmtId="165" fontId="7" fillId="7" borderId="3" xfId="0" applyFont="1" applyFill="1" applyBorder="1" applyNumberFormat="1" applyAlignment="1">
      <alignment horizontal="right" vertical="center"/>
    </xf>
    <xf numFmtId="0" fontId="8" fillId="8" borderId="4" xfId="0" applyFont="1" applyFill="1" applyBorder="1"/>
    <xf numFmtId="166" fontId="9" fillId="9" borderId="5" xfId="0" applyFont="1" applyFill="1" applyBorder="1" applyNumberFormat="1" applyAlignment="1">
      <alignment horizontal="right" vertical="center"/>
    </xf>
    <xf numFmtId="3" fontId="10" fillId="10" borderId="6" xfId="0" applyFont="1" applyFill="1" applyBorder="1" applyNumberFormat="1" applyAlignment="1">
      <alignment horizontal="right" vertical="center"/>
    </xf>
    <xf numFmtId="167" fontId="11" fillId="11" borderId="7" xfId="0" applyFont="1" applyFill="1" applyBorder="1" applyNumberFormat="1" applyAlignment="1">
      <alignment horizontal="right" vertical="center"/>
    </xf>
    <xf numFmtId="168" fontId="12" fillId="12" borderId="8" xfId="0" applyFont="1" applyFill="1" applyBorder="1" applyNumberFormat="1" applyAlignment="1">
      <alignment horizontal="right" vertical="center"/>
    </xf>
    <xf numFmtId="0" fontId="13" fillId="13" borderId="9" xfId="0" applyFont="1" applyFill="1" applyBorder="1" applyAlignment="1">
      <alignment horizontal="center" vertical="center" wrapText="true"/>
    </xf>
    <xf numFmtId="0" fontId="14" fillId="14" borderId="10" xfId="0" applyFont="1" applyFill="1" applyBorder="1" applyAlignment="1">
      <alignment horizontal="center" vertical="center" wrapText="true"/>
    </xf>
    <xf numFmtId="0" fontId="15" fillId="15" borderId="11" xfId="0" applyFont="1" applyFill="1" applyBorder="1" applyAlignment="1">
      <alignment horizontal="left" vertical="center" wrapText="true"/>
    </xf>
    <xf numFmtId="0" fontId="16" fillId="16" borderId="12" xfId="0" applyFont="1" applyFill="1" applyBorder="1" applyAlignment="1">
      <alignment horizontal="left" vertical="center" wrapText="true"/>
    </xf>
    <xf numFmtId="0" fontId="17" fillId="17" borderId="13" xfId="0" applyFont="1" applyFill="1" applyBorder="1" applyAlignment="1">
      <alignment horizontal="center" vertical="center" wrapText="true"/>
    </xf>
    <xf numFmtId="169" fontId="18" fillId="18" borderId="14" xfId="0" applyFont="1" applyFill="1" applyBorder="1" applyNumberFormat="1" applyAlignment="1">
      <alignment horizontal="right" vertical="center" wrapText="true"/>
    </xf>
    <xf numFmtId="0" fontId="19" fillId="19" borderId="15" xfId="0" applyFont="1" applyFill="1" applyBorder="1" applyAlignment="1">
      <alignment horizontal="right" vertical="center" wrapText="true"/>
    </xf>
    <xf numFmtId="0" fontId="20" fillId="20" borderId="16" xfId="0" applyFont="1" applyFill="1" applyBorder="1" applyAlignment="1">
      <alignment horizontal="right" vertical="center" wrapText="true"/>
    </xf>
    <xf numFmtId="170" fontId="21" fillId="21" borderId="17" xfId="0" applyFont="1" applyFill="1" applyBorder="1" applyNumberFormat="1" applyAlignment="1">
      <alignment horizontal="right" vertical="center" wrapText="true"/>
    </xf>
    <xf numFmtId="171" fontId="22" fillId="22" borderId="18" xfId="0" applyFont="1" applyFill="1" applyBorder="1" applyNumberFormat="1" applyAlignment="1">
      <alignment horizontal="right" vertical="center" wrapText="true"/>
    </xf>
    <xf numFmtId="3" fontId="23" fillId="23" borderId="19" xfId="0" applyFont="1" applyFill="1" applyBorder="1" applyNumberFormat="1" applyAlignment="1">
      <alignment horizontal="right" vertical="center" wrapText="true"/>
    </xf>
    <xf numFmtId="0" fontId="24" fillId="24" borderId="20" xfId="0" applyFont="1" applyFill="1" applyBorder="1" applyAlignment="1">
      <alignment horizontal="center" vertical="center" wrapText="true"/>
    </xf>
    <xf numFmtId="172" fontId="25" fillId="25" borderId="21" xfId="0" applyFont="1" applyFill="1" applyBorder="1" applyNumberFormat="1" applyAlignment="1">
      <alignment horizontal="right" vertical="center" wrapText="true"/>
    </xf>
    <xf numFmtId="0" fontId="26" fillId="26" borderId="22" xfId="0" applyFont="1" applyFill="1" applyBorder="1" applyAlignment="1">
      <alignment horizontal="center" vertical="center" wrapText="true"/>
    </xf>
    <xf numFmtId="0" fontId="27" fillId="27" borderId="23" xfId="0" applyFont="1" applyFill="1" applyBorder="1" applyAlignment="1">
      <alignment horizontal="left" vertical="center"/>
    </xf>
    <xf numFmtId="0" fontId="28" fillId="28" borderId="24" xfId="0" applyFont="1" applyFill="1" applyBorder="1" applyAlignment="1">
      <alignment horizontal="left" vertical="center"/>
    </xf>
    <xf numFmtId="173" fontId="29" fillId="29" borderId="25" xfId="0" applyFont="1" applyFill="1" applyBorder="1" applyNumberFormat="1" applyAlignment="1">
      <alignment horizontal="left" vertical="center"/>
    </xf>
    <xf numFmtId="174" fontId="30" fillId="30" borderId="26" xfId="0" applyFont="1" applyFill="1" applyBorder="1" applyNumberFormat="1" applyAlignment="1">
      <alignment horizontal="right" vertical="center"/>
    </xf>
    <xf numFmtId="3" fontId="31" fillId="31" borderId="27" xfId="0" applyFont="1" applyFill="1" applyBorder="1" applyNumberFormat="1" applyAlignment="1">
      <alignment horizontal="right" vertical="center"/>
    </xf>
    <xf numFmtId="175" fontId="32" fillId="32" borderId="28" xfId="0" applyFont="1" applyFill="1" applyBorder="1" applyNumberFormat="1" applyAlignment="1">
      <alignment horizontal="right" vertical="center"/>
    </xf>
    <xf numFmtId="176" fontId="33" fillId="33" borderId="29" xfId="0" applyFont="1" applyFill="1" applyBorder="1" applyNumberFormat="1" applyAlignment="1">
      <alignment horizontal="right" vertical="center"/>
    </xf>
    <xf numFmtId="177" fontId="34" fillId="34" borderId="30" xfId="0" applyFont="1" applyFill="1" applyBorder="1" applyNumberFormat="1" applyAlignment="1">
      <alignment horizontal="right" vertical="center"/>
    </xf>
    <xf numFmtId="178" fontId="35" fillId="35" borderId="31" xfId="0" applyFont="1" applyFill="1" applyBorder="1" applyNumberFormat="1" applyAlignment="1">
      <alignment horizontal="right" vertical="center"/>
    </xf>
    <xf numFmtId="179" fontId="36" fillId="36" borderId="32" xfId="0" applyFont="1" applyFill="1" applyBorder="1" applyNumberFormat="1" applyAlignment="1">
      <alignment horizontal="left" vertical="center"/>
    </xf>
    <xf numFmtId="180" fontId="37" fillId="37" borderId="33" xfId="0" applyFont="1" applyFill="1" applyBorder="1" applyNumberFormat="1" applyAlignment="1">
      <alignment horizontal="center" vertical="center" wrapText="true"/>
    </xf>
    <xf numFmtId="181" fontId="38" fillId="38" borderId="34" xfId="0" applyFont="1" applyFill="1" applyBorder="1" applyNumberFormat="1" applyAlignment="1">
      <alignment horizontal="left" vertical="center"/>
    </xf>
    <xf numFmtId="3" fontId="39" fillId="39" borderId="35" xfId="0" applyFont="1" applyFill="1" applyBorder="1" applyNumberFormat="1" applyAlignment="1">
      <alignment horizontal="right" vertical="center"/>
    </xf>
    <xf numFmtId="182" fontId="40" fillId="40" borderId="36" xfId="0" applyFont="1" applyFill="1" applyBorder="1" applyNumberForma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cols>
    <col min="1" max="1" width="3.83203125" customWidth="1"/>
    <col min="2" max="2" width="25.83203125" customWidth="1"/>
    <col min="3" max="3" width="20.83203125" customWidth="1"/>
    <col min="4" max="4" width="4.83203125" customWidth="1"/>
    <col min="5" max="5" width="25.83203125" customWidth="1"/>
    <col min="6" max="6" width="20.83203125" customWidth="1"/>
    <col min="7" max="7" width="4.83203125" customWidth="1"/>
    <col min="8" max="8" width="25.83203125" customWidth="1"/>
    <col min="9" max="9" width="20.83203125" customWidth="1"/>
    <col min="10" max="10" width="4.83203125" customWidth="1"/>
    <col min="11" max="11" width="25.83203125" customWidth="1"/>
    <col min="12" max="12" width="20.83203125" customWidth="1"/>
  </cols>
  <sheetData>
    <row r="1">
      <c r="A1" s="3" t="str">
        <v>TU BODEGUITA DE CONFIANZA - DASHBOARD FINANCIERO EJECUTIVO</v>
      </c>
    </row>
    <row r="2">
      <c r="A2" s="4" t="str">
        <v>Fecha de Emisión: 27/9/2026, 2:59:39 p. m.  |  Tasa Oficial BCV: Bs. 396.90 / USD  |  Respaldo Maestro Consolidado</v>
      </c>
    </row>
    <row r="4">
      <c r="A4" s="2" t="str">
        <v/>
      </c>
      <c r="B4" s="5" t="str">
        <v>📦 INVENTARIO VALORADO</v>
      </c>
      <c r="C4" s="2" t="str">
        <v/>
      </c>
      <c r="D4" s="2" t="str">
        <v/>
      </c>
      <c r="E4" s="6" t="str">
        <v>💳 CUENTAS POR COBRAR</v>
      </c>
      <c r="F4" s="2" t="str">
        <v/>
      </c>
      <c r="G4" s="2" t="str">
        <v/>
      </c>
      <c r="H4" s="6" t="str">
        <v>📈 FACTURACIÓN Y VENTAS</v>
      </c>
      <c r="I4" s="2" t="str">
        <v/>
      </c>
      <c r="J4" s="2" t="str">
        <v/>
      </c>
      <c r="K4" s="6" t="str">
        <v>🚨 SALUD DEL STOCK</v>
      </c>
      <c r="L4" s="2" t="str">
        <v/>
      </c>
    </row>
    <row r="5">
      <c r="A5" s="2" t="str">
        <v/>
      </c>
      <c r="B5" s="7" t="str">
        <v>Valor al Costo ($ USD)</v>
      </c>
      <c r="C5" s="8">
        <f>SUM(Inventario_Productos!K2:K2)</f>
        <v>0</v>
      </c>
      <c r="D5" s="2" t="str">
        <v/>
      </c>
      <c r="E5" s="9" t="str">
        <v>Total Deuda ($ USD)</v>
      </c>
      <c r="F5" s="10">
        <f>SUM(Clientes_CuentasCobrar!F2:F2)</f>
        <v>0</v>
      </c>
      <c r="G5" s="2" t="str">
        <v/>
      </c>
      <c r="H5" s="9" t="str">
        <v>Facturación Total ($ USD)</v>
      </c>
      <c r="I5" s="10">
        <f>SUM(Ventas_Historial!H2:H2)</f>
        <v>0</v>
      </c>
      <c r="J5" s="2" t="str">
        <v/>
      </c>
      <c r="K5" s="9" t="str">
        <v>Productos Agotados</v>
      </c>
      <c r="L5" s="11">
        <f>COUNTIF(Inventario_Productos!N2:N2,"AGOTADO")</f>
        <v>0</v>
      </c>
    </row>
    <row r="6">
      <c r="A6" s="2" t="str">
        <v/>
      </c>
      <c r="B6" s="9" t="str">
        <v>Valor a la Venta ($ USD)</v>
      </c>
      <c r="C6" s="10">
        <f>SUM(Inventario_Productos!L2:L2)</f>
        <v>0</v>
      </c>
      <c r="D6" s="2" t="str">
        <v/>
      </c>
      <c r="E6" s="9" t="str">
        <v>Total Deuda Estimada (Bs)</v>
      </c>
      <c r="F6" s="12">
        <f>SUM(Clientes_CuentasCobrar!G2:G2)</f>
        <v>0</v>
      </c>
      <c r="G6" s="2" t="str">
        <v/>
      </c>
      <c r="H6" s="9" t="str">
        <v>Facturación Total (Bs)</v>
      </c>
      <c r="I6" s="12">
        <f>SUM(Ventas_Historial!I2:I2)</f>
        <v>0</v>
      </c>
      <c r="J6" s="2" t="str">
        <v/>
      </c>
      <c r="K6" s="9" t="str">
        <v>Stock Crítico (&lt;=3 unid)</v>
      </c>
      <c r="L6" s="11">
        <f>COUNTIF(Inventario_Productos!N2:N2,"STOCK BAJO")</f>
        <v>0</v>
      </c>
    </row>
    <row r="7">
      <c r="A7" s="2" t="str">
        <v/>
      </c>
      <c r="B7" s="9" t="str">
        <v>Ganancia Proyectada ($)</v>
      </c>
      <c r="C7" s="10">
        <f>C6-C5</f>
        <v>0</v>
      </c>
      <c r="D7" s="2" t="str">
        <v/>
      </c>
      <c r="E7" s="9" t="str">
        <v>Clientes con Deuda</v>
      </c>
      <c r="F7" s="11">
        <f>COUNTIF(Clientes_CuentasCobrar!H2:H2,"CON SALDO PENDIENTE")</f>
        <v>0</v>
      </c>
      <c r="G7" s="2" t="str">
        <v/>
      </c>
      <c r="H7" s="9" t="str">
        <v>Total Operaciones</v>
      </c>
      <c r="I7" s="11">
        <f>COUNTA(Ventas_Historial!B2:B2)</f>
        <v>0</v>
      </c>
      <c r="J7" s="2" t="str">
        <v/>
      </c>
      <c r="K7" s="9" t="str">
        <v>Total SKUs Catálogo</v>
      </c>
      <c r="L7" s="11">
        <f>COUNTA(Inventario_Productos!B2:B2)</f>
        <v>1</v>
      </c>
    </row>
    <row r="8">
      <c r="A8" s="2" t="str">
        <v/>
      </c>
      <c r="B8" s="9" t="str">
        <v>Margen Global Proyectado</v>
      </c>
      <c r="C8" s="13">
        <f>IFERROR(C7/C6,0)</f>
        <v>0</v>
      </c>
      <c r="D8" s="2" t="str">
        <v/>
      </c>
      <c r="E8" s="9" t="str">
        <v>Estado Cartera</v>
      </c>
      <c r="F8" s="13" t="str">
        <v>AL DÍA</v>
      </c>
      <c r="G8" s="2" t="str">
        <v/>
      </c>
      <c r="H8" s="9" t="str">
        <v>Ticket Promedio ($ USD)</v>
      </c>
      <c r="I8" s="10">
        <f>IFERROR(I5/I7,0)</f>
        <v>0</v>
      </c>
      <c r="J8" s="2" t="str">
        <v/>
      </c>
      <c r="K8" s="9" t="str">
        <v>Disponibilidad Catálogo</v>
      </c>
      <c r="L8" s="13">
        <f>IFERROR((L7-L5)/L7,1)</f>
        <v>1</v>
      </c>
    </row>
    <row r="10">
      <c r="A10" s="2" t="str">
        <v/>
      </c>
      <c r="B10" s="2" t="str">
        <v>🚨 TOP 5 CLIENTES CON MAYOR DEUDA (ALERTAS DE COBRO)</v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>📊 DISTRIBUCIÓN DE VENTAS POR CONDICIÓN</v>
      </c>
      <c r="I10" s="2" t="str">
        <v/>
      </c>
      <c r="J10" s="2" t="str">
        <v/>
      </c>
      <c r="K10" s="2" t="str">
        <v/>
      </c>
    </row>
    <row r="11">
      <c r="A11" s="2" t="str">
        <v/>
      </c>
      <c r="B11" s="2" t="str">
        <v>N°</v>
      </c>
      <c r="C11" s="2" t="str">
        <v>Cédula / ID</v>
      </c>
      <c r="D11" s="2" t="str">
        <v>Nombre Cliente</v>
      </c>
      <c r="E11" s="2" t="str">
        <v>Saldo ($ USD)</v>
      </c>
      <c r="F11" s="2" t="str">
        <v>Saldo (Bs)</v>
      </c>
      <c r="G11" s="2" t="str">
        <v>Condición</v>
      </c>
      <c r="H11" s="2" t="str">
        <v>Cant. Ventas</v>
      </c>
      <c r="I11" s="2" t="str">
        <v>Total ($ USD)</v>
      </c>
      <c r="J11" s="2" t="str">
        <v>Total (Bs)</v>
      </c>
      <c r="K11" s="2" t="str">
        <v>% Participación</v>
      </c>
    </row>
    <row r="12">
      <c r="A12" s="2" t="str">
        <v/>
      </c>
      <c r="B12" s="2">
        <v>1</v>
      </c>
      <c r="C12" s="2" t="str">
        <v>-</v>
      </c>
      <c r="D12" s="2" t="str">
        <v>Sin deudas registradas</v>
      </c>
      <c r="E12" s="2">
        <v>0</v>
      </c>
      <c r="F12" s="2">
        <v>0</v>
      </c>
      <c r="G12" s="2" t="str">
        <v>Contado</v>
      </c>
      <c r="H12" s="2">
        <v>0</v>
      </c>
      <c r="I12" s="2">
        <v>0</v>
      </c>
      <c r="J12" s="2">
        <v>0</v>
      </c>
      <c r="K12" s="2">
        <v>0</v>
      </c>
    </row>
    <row r="13">
      <c r="A13" s="2" t="str">
        <v/>
      </c>
      <c r="B13" s="2">
        <v>2</v>
      </c>
      <c r="C13" s="2" t="str">
        <v>-</v>
      </c>
      <c r="D13" s="2" t="str">
        <v>Sin deudas registradas</v>
      </c>
      <c r="E13" s="2">
        <v>0</v>
      </c>
      <c r="F13" s="2">
        <v>0</v>
      </c>
      <c r="G13" s="2" t="str">
        <v>Crédito</v>
      </c>
      <c r="H13" s="2">
        <v>0</v>
      </c>
      <c r="I13" s="2">
        <v>0</v>
      </c>
      <c r="J13" s="2">
        <v>0</v>
      </c>
      <c r="K13" s="2">
        <v>0</v>
      </c>
    </row>
    <row r="14">
      <c r="A14" s="2" t="str">
        <v/>
      </c>
      <c r="B14" s="2">
        <v>3</v>
      </c>
      <c r="C14" s="2" t="str">
        <v>-</v>
      </c>
      <c r="D14" s="2" t="str">
        <v>Sin deudas registradas</v>
      </c>
      <c r="E14" s="2">
        <v>0</v>
      </c>
      <c r="F14" s="2">
        <v>0</v>
      </c>
      <c r="G14" s="2" t="str">
        <v>TOTAL FACTURACIÓN</v>
      </c>
      <c r="H14" s="2">
        <v>0</v>
      </c>
      <c r="I14" s="2">
        <v>0</v>
      </c>
      <c r="J14" s="2">
        <v>0</v>
      </c>
      <c r="K14" s="2">
        <v>1</v>
      </c>
    </row>
    <row r="15">
      <c r="A15" s="2" t="str">
        <v/>
      </c>
      <c r="B15" s="2">
        <v>4</v>
      </c>
      <c r="C15" s="2" t="str">
        <v>-</v>
      </c>
      <c r="D15" s="2" t="str">
        <v>Sin deudas registradas</v>
      </c>
      <c r="E15" s="2">
        <v>0</v>
      </c>
      <c r="F15" s="2">
        <v>0</v>
      </c>
      <c r="G15" s="2" t="str">
        <v/>
      </c>
      <c r="H15" s="2" t="str">
        <v/>
      </c>
      <c r="I15" s="2" t="str">
        <v/>
      </c>
      <c r="J15" s="2" t="str">
        <v/>
      </c>
      <c r="K15" s="2" t="str">
        <v/>
      </c>
    </row>
    <row r="16">
      <c r="A16" s="2" t="str">
        <v/>
      </c>
      <c r="B16" s="2">
        <v>5</v>
      </c>
      <c r="C16" s="2" t="str">
        <v>-</v>
      </c>
      <c r="D16" s="2" t="str">
        <v>Sin deudas registradas</v>
      </c>
      <c r="E16" s="2">
        <v>0</v>
      </c>
      <c r="F16" s="2">
        <v>0</v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</row>
    <row r="18">
      <c r="A18" s="2" t="str">
        <v/>
      </c>
      <c r="B18" s="2" t="str">
        <v>🏆 TOP 5 PRODUCTOS CON MAYOR MARGEN BRUTO (%)</v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>⚠️ PRODUCTOS EN RIESGO DE AGOTARSE O AGOTADOS</v>
      </c>
      <c r="I18" s="2" t="str">
        <v/>
      </c>
      <c r="J18" s="2" t="str">
        <v/>
      </c>
      <c r="K18" s="2" t="str">
        <v/>
      </c>
    </row>
    <row r="19">
      <c r="A19" s="2" t="str">
        <v/>
      </c>
      <c r="B19" s="2" t="str">
        <v>Ranking</v>
      </c>
      <c r="C19" s="2" t="str">
        <v>Código / SKU</v>
      </c>
      <c r="D19" s="2" t="str">
        <v>Nombre del Producto</v>
      </c>
      <c r="E19" s="2" t="str">
        <v>Costo ($ USD)</v>
      </c>
      <c r="F19" s="2" t="str">
        <v>Precio ($ USD)</v>
      </c>
      <c r="G19" s="2" t="str">
        <v>Margen (%)</v>
      </c>
      <c r="H19" s="2" t="str">
        <v>Código</v>
      </c>
      <c r="I19" s="2" t="str">
        <v>Producto</v>
      </c>
      <c r="J19" s="2" t="str">
        <v>Stock Actual</v>
      </c>
      <c r="K19" s="2" t="str">
        <v>Estado Stock</v>
      </c>
    </row>
    <row r="20">
      <c r="A20" s="2" t="str">
        <v/>
      </c>
      <c r="B20" s="2">
        <v>1</v>
      </c>
      <c r="C20" s="2" t="str">
        <v>001</v>
      </c>
      <c r="D20" s="2" t="str">
        <v>Test</v>
      </c>
      <c r="E20" s="2">
        <v>0</v>
      </c>
      <c r="F20" s="2">
        <v>0</v>
      </c>
      <c r="G20" s="2">
        <v>0</v>
      </c>
      <c r="H20" s="2" t="str">
        <v>-</v>
      </c>
      <c r="I20" s="2" t="str">
        <v>Sin productos en riesgo</v>
      </c>
      <c r="J20" s="2">
        <v>0</v>
      </c>
      <c r="K20" s="2" t="str">
        <v>DISPONIBLE</v>
      </c>
    </row>
    <row r="21">
      <c r="A21" s="2" t="str">
        <v/>
      </c>
      <c r="B21" s="2">
        <v>2</v>
      </c>
      <c r="C21" s="2" t="str">
        <v>-</v>
      </c>
      <c r="D21" s="2" t="str">
        <v>Sin productos</v>
      </c>
      <c r="E21" s="2">
        <v>0</v>
      </c>
      <c r="F21" s="2">
        <v>0</v>
      </c>
      <c r="G21" s="2">
        <v>0</v>
      </c>
      <c r="H21" s="2" t="str">
        <v>-</v>
      </c>
      <c r="I21" s="2" t="str">
        <v>Sin productos en riesgo</v>
      </c>
      <c r="J21" s="2">
        <v>0</v>
      </c>
      <c r="K21" s="2" t="str">
        <v>DISPONIBLE</v>
      </c>
    </row>
    <row r="22">
      <c r="A22" s="2" t="str">
        <v/>
      </c>
      <c r="B22" s="2">
        <v>3</v>
      </c>
      <c r="C22" s="2" t="str">
        <v>-</v>
      </c>
      <c r="D22" s="2" t="str">
        <v>Sin productos</v>
      </c>
      <c r="E22" s="2">
        <v>0</v>
      </c>
      <c r="F22" s="2">
        <v>0</v>
      </c>
      <c r="G22" s="2">
        <v>0</v>
      </c>
      <c r="H22" s="2" t="str">
        <v>-</v>
      </c>
      <c r="I22" s="2" t="str">
        <v>Sin productos en riesgo</v>
      </c>
      <c r="J22" s="2">
        <v>0</v>
      </c>
      <c r="K22" s="2" t="str">
        <v>DISPONIBLE</v>
      </c>
    </row>
    <row r="23">
      <c r="A23" s="2" t="str">
        <v/>
      </c>
      <c r="B23" s="2">
        <v>4</v>
      </c>
      <c r="C23" s="2" t="str">
        <v>-</v>
      </c>
      <c r="D23" s="2" t="str">
        <v>Sin productos</v>
      </c>
      <c r="E23" s="2">
        <v>0</v>
      </c>
      <c r="F23" s="2">
        <v>0</v>
      </c>
      <c r="G23" s="2">
        <v>0</v>
      </c>
      <c r="H23" s="2" t="str">
        <v>-</v>
      </c>
      <c r="I23" s="2" t="str">
        <v>Sin productos en riesgo</v>
      </c>
      <c r="J23" s="2">
        <v>0</v>
      </c>
      <c r="K23" s="2" t="str">
        <v>DISPONIBLE</v>
      </c>
    </row>
    <row r="24">
      <c r="A24" s="2" t="str">
        <v/>
      </c>
      <c r="B24" s="2">
        <v>5</v>
      </c>
      <c r="C24" s="2" t="str">
        <v>-</v>
      </c>
      <c r="D24" s="2" t="str">
        <v>Sin productos</v>
      </c>
      <c r="E24" s="2">
        <v>0</v>
      </c>
      <c r="F24" s="2">
        <v>0</v>
      </c>
      <c r="G24" s="2">
        <v>0</v>
      </c>
      <c r="H24" s="2" t="str">
        <v>-</v>
      </c>
      <c r="I24" s="2" t="str">
        <v>Sin productos en riesgo</v>
      </c>
      <c r="J24" s="2">
        <v>0</v>
      </c>
      <c r="K24" s="2" t="str">
        <v>DISPONIBLE</v>
      </c>
    </row>
  </sheetData>
  <pageMargins left="0.4" right="0.4" top="0.6" bottom="0.6" header="0.3" footer="0.3"/>
  <ignoredErrors>
    <ignoredError numberStoredAsText="1" sqref="A1:L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42.83203125" customWidth="1"/>
    <col min="2" max="2" width="22.83203125" customWidth="1"/>
    <col min="3" max="3" width="55.83203125" customWidth="1"/>
  </cols>
  <sheetData>
    <row r="1">
      <c r="A1" s="14" t="str">
        <v>Indicador / Métrica</v>
      </c>
      <c r="B1" s="15" t="str">
        <v>Valor</v>
      </c>
      <c r="C1" s="15" t="str">
        <v>Detalles / Observaciones</v>
      </c>
    </row>
    <row r="2">
      <c r="A2" s="16" t="str">
        <v>Fecha y Hora del Respaldo</v>
      </c>
      <c r="B2" s="16" t="str">
        <v>27/9/2026, 2:59:39 p. m.</v>
      </c>
      <c r="C2" s="16" t="str">
        <v>Generado desde Tu Bodeguita de Confianza</v>
      </c>
    </row>
    <row r="3">
      <c r="A3" s="17" t="str">
        <v>Versión del Sistema</v>
      </c>
      <c r="B3" s="18" t="str">
        <v>4.5.0</v>
      </c>
      <c r="C3" s="17" t="str">
        <v>Respaldo Integral Maestro Multi-Hoja</v>
      </c>
    </row>
    <row r="4">
      <c r="A4" s="16" t="str">
        <v>Tasa Oficial BCV Vigente (Bs/USD)</v>
      </c>
      <c r="B4" s="19">
        <v>396.9</v>
      </c>
      <c r="C4" s="16" t="str">
        <v>Tasa de referencia para cálculos en Bolívares (Vigente)</v>
      </c>
    </row>
    <row r="5">
      <c r="A5" s="17" t="str">
        <v>Total de Productos en Catálogo</v>
      </c>
      <c r="B5" s="20">
        <v>1</v>
      </c>
      <c r="C5" s="17" t="str">
        <v>Productos registrados en inventario</v>
      </c>
    </row>
    <row r="6">
      <c r="A6" s="16" t="str">
        <v>Stock Total de Unidades Físicas</v>
      </c>
      <c r="B6" s="21">
        <v>10</v>
      </c>
      <c r="C6" s="16" t="str">
        <v>Suma de unidades físicas en estantería</v>
      </c>
    </row>
    <row r="7">
      <c r="A7" s="17" t="str">
        <v>Valorización de Inventario al Costo ($ USD)</v>
      </c>
      <c r="B7" s="22">
        <f>SUM(Inventario_Productos!K2:K2)</f>
        <v>0</v>
      </c>
      <c r="C7" s="17" t="str">
        <v>Inversión neta en mercancía disponible</v>
      </c>
    </row>
    <row r="8">
      <c r="A8" s="16" t="str">
        <v>Valorización de Inventario a Precio Venta ($ USD)</v>
      </c>
      <c r="B8" s="23">
        <f>SUM(Inventario_Productos!L2:L2)</f>
        <v>0</v>
      </c>
      <c r="C8" s="16" t="str">
        <v>Ingreso proyectado en vitrina</v>
      </c>
    </row>
    <row r="9">
      <c r="A9" s="17" t="str">
        <v>Margen Proyectado Bruto ($ USD)</v>
      </c>
      <c r="B9" s="22">
        <f>B8-B7</f>
        <v>0</v>
      </c>
      <c r="C9" s="17" t="str">
        <v>Ganancia bruta potencial en stock</v>
      </c>
    </row>
    <row r="10">
      <c r="A10" s="16" t="str">
        <v>Total de Clientes en Directorio</v>
      </c>
      <c r="B10" s="21">
        <v>1</v>
      </c>
      <c r="C10" s="16" t="str">
        <v>Clientes registrados en el sistema</v>
      </c>
    </row>
    <row r="11">
      <c r="A11" s="17" t="str">
        <v>Total Cuentas por Cobrar (Deuda Clientes $ USD)</v>
      </c>
      <c r="B11" s="22">
        <f>SUM(Clientes_CuentasCobrar!F2:F2)</f>
        <v>0</v>
      </c>
      <c r="C11" s="17" t="str">
        <v>Equivalente aprox: Bs. 0.00 (0 clientes con saldo)</v>
      </c>
    </row>
    <row r="12">
      <c r="A12" s="16" t="str">
        <v>Total de Ventas Registradas</v>
      </c>
      <c r="B12" s="21">
        <v>0</v>
      </c>
      <c r="C12" s="16" t="str">
        <v>Operaciones históricas de venta</v>
      </c>
    </row>
    <row r="13">
      <c r="A13" s="17" t="str">
        <v>Facturación Histórica Total ($ USD)</v>
      </c>
      <c r="B13" s="22">
        <f>SUM(Ventas_Historial!H2:H2)</f>
        <v>0</v>
      </c>
      <c r="C13" s="17" t="str">
        <v>Monto histórico vendido acumulado</v>
      </c>
    </row>
    <row r="14">
      <c r="A14" s="16" t="str">
        <v>Total Abonos y Pagos a Deudas ($ USD)</v>
      </c>
      <c r="B14" s="21">
        <v>0</v>
      </c>
      <c r="C14" s="16" t="str">
        <v>Monto recaudado de cuentas por cobrar</v>
      </c>
    </row>
    <row r="15">
      <c r="A15" s="17" t="str">
        <v>Total Facturas de Compras Registradas</v>
      </c>
      <c r="B15" s="20">
        <v>0</v>
      </c>
      <c r="C15" s="17" t="str">
        <v>Facturas de reposición de proveedores</v>
      </c>
    </row>
    <row r="16">
      <c r="A16" s="16" t="str">
        <v>Total Invertido en Compras ($ USD)</v>
      </c>
      <c r="B16" s="21">
        <v>0</v>
      </c>
      <c r="C16" s="16" t="str">
        <v>Monto pagado a proveedores por reposición</v>
      </c>
    </row>
    <row r="17">
      <c r="A17" s="17" t="str">
        <v>Total Proveedores Registrados</v>
      </c>
      <c r="B17" s="20">
        <v>0</v>
      </c>
      <c r="C17" s="17" t="str">
        <v>Directorio comercial de proveedores</v>
      </c>
    </row>
    <row r="18">
      <c r="A18" s="16" t="str">
        <v>Cuentas Bancarias / Métodos Configurados</v>
      </c>
      <c r="B18" s="21">
        <v>0</v>
      </c>
      <c r="C18" s="16" t="str">
        <v>Canales de recepción de pagos</v>
      </c>
    </row>
    <row r="19">
      <c r="A19" s="17" t="str">
        <v>Transacciones / Pagos Reportados</v>
      </c>
      <c r="B19" s="20">
        <v>0</v>
      </c>
      <c r="C19" s="17" t="str">
        <v>Conciliaciones bancarias y pagos reportados</v>
      </c>
    </row>
    <row r="20">
      <c r="A20" s="16" t="str">
        <v>Movimientos Registrados en Kardex</v>
      </c>
      <c r="B20" s="21">
        <v>0</v>
      </c>
      <c r="C20" s="16" t="str">
        <v>Entradas, salidas y ajustes de inventario</v>
      </c>
    </row>
    <row r="21">
      <c r="A21" s="17" t="str">
        <v>Auditorías Físicas Realizadas</v>
      </c>
      <c r="B21" s="20">
        <v>0</v>
      </c>
      <c r="C21" s="17" t="str">
        <v>Revisiones y conteos físicos</v>
      </c>
    </row>
    <row r="22">
      <c r="A22" s="16" t="str">
        <v>Mermas y Registros Eliminados</v>
      </c>
      <c r="B22" s="21">
        <v>0</v>
      </c>
      <c r="C22" s="16" t="str">
        <v>Bajas de productos y clientes eliminados</v>
      </c>
    </row>
    <row r="23">
      <c r="A23" s="17" t="str">
        <v>Total de Usuarios del Sistema</v>
      </c>
      <c r="B23" s="20">
        <v>0</v>
      </c>
      <c r="C23" s="17" t="str">
        <v>SuperAdmin, vendedores y clientes</v>
      </c>
    </row>
    <row r="24">
      <c r="A24" s="16" t="str">
        <v>Total Puntos Acumulados por Clientes</v>
      </c>
      <c r="B24" s="21">
        <v>0</v>
      </c>
      <c r="C24" s="16" t="str">
        <v>Programa de gamificación y fidelidad</v>
      </c>
    </row>
    <row r="25">
      <c r="A25" s="17" t="str">
        <v>Premio del Mes Activo</v>
      </c>
      <c r="B25" s="18" t="str">
        <v>No configurado</v>
      </c>
      <c r="C25" s="17" t="str">
        <v>Meta: 600 pts (Vigente)</v>
      </c>
    </row>
  </sheetData>
  <pageMargins left="0.5" right="0.5" top="0.7" bottom="0.7" header="0.3" footer="0.3"/>
  <ignoredErrors>
    <ignoredError numberStoredAsText="1" sqref="A1:C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12.83203125" customWidth="1"/>
    <col min="2" max="2" width="15.83203125" customWidth="1"/>
    <col min="3" max="3" width="16.83203125" customWidth="1"/>
    <col min="4" max="4" width="23.83203125" customWidth="1"/>
    <col min="5" max="5" width="13.83203125" customWidth="1"/>
    <col min="6" max="6" width="26.83203125" customWidth="1"/>
    <col min="7" max="7" width="24.83203125" customWidth="1"/>
    <col min="8" max="8" width="29.83203125" customWidth="1"/>
    <col min="9" max="9" width="20.83203125" customWidth="1"/>
    <col min="10" max="10" width="16.83203125" customWidth="1"/>
    <col min="11" max="11" width="29.83203125" customWidth="1"/>
    <col min="12" max="12" width="29.83203125" customWidth="1"/>
    <col min="13" max="13" width="31.83203125" customWidth="1"/>
    <col min="14" max="14" width="16.83203125" customWidth="1"/>
    <col min="15" max="15" width="24.83203125" customWidth="1"/>
  </cols>
  <sheetData>
    <row r="1">
      <c r="A1" s="14" t="str">
        <v>N°</v>
      </c>
      <c r="B1" s="14" t="str">
        <v>ID Producto</v>
      </c>
      <c r="C1" s="14" t="str">
        <v>Código / SKU</v>
      </c>
      <c r="D1" s="14" t="str">
        <v>Nombre del Producto</v>
      </c>
      <c r="E1" s="14" t="str">
        <v>Categoría</v>
      </c>
      <c r="F1" s="14" t="str">
        <v>Costo Unitario ($ USD)</v>
      </c>
      <c r="G1" s="14" t="str">
        <v>Precio Venta ($ USD)</v>
      </c>
      <c r="H1" s="14" t="str">
        <v>Ganancia Unitaria ($ USD)</v>
      </c>
      <c r="I1" s="14" t="str">
        <v>Margen Bruto (%)</v>
      </c>
      <c r="J1" s="14" t="str">
        <v>Stock Actual</v>
      </c>
      <c r="K1" s="14" t="str">
        <v>Valor Total Costo ($ USD)</v>
      </c>
      <c r="L1" s="14" t="str">
        <v>Valor Total Venta ($ USD)</v>
      </c>
      <c r="M1" s="14" t="str">
        <v>Ganancia Proyectada ($ USD)</v>
      </c>
      <c r="N1" s="14" t="str">
        <v>Estado Stock</v>
      </c>
      <c r="O1" s="14" t="str">
        <v>URL Imagen / Almacén</v>
      </c>
    </row>
    <row r="2">
      <c r="A2" s="24">
        <v>1</v>
      </c>
      <c r="B2" s="21">
        <v>1</v>
      </c>
      <c r="C2" s="25" t="str">
        <v>001</v>
      </c>
      <c r="D2" s="16" t="str">
        <v>Test</v>
      </c>
      <c r="E2" s="25" t="str">
        <v>General</v>
      </c>
      <c r="F2" s="23">
        <v>0</v>
      </c>
      <c r="G2" s="23">
        <v>0</v>
      </c>
      <c r="H2" s="23">
        <f>G2-F2</f>
        <v>0</v>
      </c>
      <c r="I2" s="26">
        <f>IFERROR((G2-F2)/G2,0)</f>
        <v>0</v>
      </c>
      <c r="J2" s="24">
        <v>10</v>
      </c>
      <c r="K2" s="23">
        <f>J2*F2</f>
        <v>0</v>
      </c>
      <c r="L2" s="23">
        <f>J2*G2</f>
        <v>0</v>
      </c>
      <c r="M2" s="23">
        <f>L2-K2</f>
        <v>0</v>
      </c>
      <c r="N2" s="27" t="str">
        <f>IF(J2&lt;=0,"AGOTADO",IF(J2&lt;=3,"STOCK BAJO","DISPONIBLE"))</f>
        <v>DISPONIBLE</v>
      </c>
      <c r="O2" s="25" t="str">
        <v/>
      </c>
    </row>
    <row r="3">
      <c r="A3" s="28" t="str">
        <v/>
      </c>
      <c r="B3" s="29" t="str">
        <v/>
      </c>
      <c r="C3" s="29" t="str">
        <v/>
      </c>
      <c r="D3" s="29" t="str">
        <v>TOTAL GENERAL</v>
      </c>
      <c r="E3" s="29" t="str">
        <v/>
      </c>
      <c r="F3" s="30" t="str">
        <v/>
      </c>
      <c r="G3" s="30" t="str">
        <v/>
      </c>
      <c r="H3" s="30" t="str">
        <v/>
      </c>
      <c r="I3" s="31">
        <f>IFERROR((L3-K3)/L3,0)</f>
        <v>0</v>
      </c>
      <c r="J3" s="32">
        <f>SUM(J2:J2)</f>
        <v>10</v>
      </c>
      <c r="K3" s="33">
        <f>SUM(K2:K2)</f>
        <v>0</v>
      </c>
      <c r="L3" s="33">
        <f>SUM(L2:L2)</f>
        <v>0</v>
      </c>
      <c r="M3" s="33">
        <f>SUM(M2:M2)</f>
        <v>0</v>
      </c>
      <c r="N3" s="29" t="str">
        <v/>
      </c>
      <c r="O3" s="29" t="str">
        <v/>
      </c>
    </row>
  </sheetData>
  <pageMargins left="0.5" right="0.5" top="0.7" bottom="0.7" header="0.3" footer="0.3"/>
  <ignoredErrors>
    <ignoredError numberStoredAsText="1" sqref="A1:O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2.83203125" customWidth="1"/>
    <col min="2" max="2" width="21.83203125" customWidth="1"/>
    <col min="3" max="3" width="34.83203125" customWidth="1"/>
    <col min="4" max="4" width="23.83203125" customWidth="1"/>
    <col min="5" max="5" width="22.83203125" customWidth="1"/>
    <col min="6" max="6" width="24.83203125" customWidth="1"/>
    <col min="7" max="7" width="30.83203125" customWidth="1"/>
    <col min="8" max="8" width="20.83203125" customWidth="1"/>
    <col min="9" max="9" width="37.83203125" customWidth="1"/>
    <col min="10" max="10" width="35.83203125" customWidth="1"/>
    <col min="11" max="11" width="21.83203125" customWidth="1"/>
    <col min="12" max="12" width="20.83203125" customWidth="1"/>
    <col min="13" max="13" width="22.83203125" customWidth="1"/>
    <col min="14" max="14" width="21.83203125" customWidth="1"/>
  </cols>
  <sheetData>
    <row r="1">
      <c r="A1" s="14" t="str">
        <v>N°</v>
      </c>
      <c r="B1" s="14" t="str">
        <v>Cédula / RIF / ID</v>
      </c>
      <c r="C1" s="14" t="str">
        <v>Nombre Completo / Razón Social</v>
      </c>
      <c r="D1" s="14" t="str">
        <v>Teléfono / WhatsApp</v>
      </c>
      <c r="E1" s="14" t="str">
        <v>Correo Electrónico</v>
      </c>
      <c r="F1" s="14" t="str">
        <v>Saldo Deudor ($ USD)</v>
      </c>
      <c r="G1" s="14" t="str">
        <v>Saldo Deudor Estimado (Bs)</v>
      </c>
      <c r="H1" s="14" t="str">
        <v>Estado de Cuenta</v>
      </c>
      <c r="I1" s="14" t="str">
        <v>Total Compras Registradas ($ USD)</v>
      </c>
      <c r="J1" s="14" t="str">
        <v>Total Abonos Realizados ($ USD)</v>
      </c>
      <c r="K1" s="14" t="str">
        <v>Puntos Acumulados</v>
      </c>
      <c r="L1" s="14" t="str">
        <v>Puntos Canjeados</v>
      </c>
      <c r="M1" s="14" t="str">
        <v>Puntos Disponibles</v>
      </c>
      <c r="N1" s="14" t="str">
        <v>Usuario Vinculado</v>
      </c>
    </row>
    <row r="2">
      <c r="A2" s="24">
        <v>1</v>
      </c>
      <c r="B2" s="25" t="str">
        <v>123</v>
      </c>
      <c r="C2" s="16" t="str">
        <v>Test Cli</v>
      </c>
      <c r="D2" s="25" t="str">
        <v/>
      </c>
      <c r="E2" s="25" t="str">
        <v/>
      </c>
      <c r="F2" s="23">
        <v>0</v>
      </c>
      <c r="G2" s="19">
        <f>F2*Resumen_General!$B$4</f>
        <v>0</v>
      </c>
      <c r="H2" s="27" t="str">
        <f>IF(F2&gt;0,"CON SALDO PENDIENTE","AL DÍA")</f>
        <v>AL DÍA</v>
      </c>
      <c r="I2" s="23">
        <v>0</v>
      </c>
      <c r="J2" s="23">
        <v>0</v>
      </c>
      <c r="K2" s="24">
        <v>0</v>
      </c>
      <c r="L2" s="24">
        <v>0</v>
      </c>
      <c r="M2" s="24">
        <v>0</v>
      </c>
      <c r="N2" s="25" t="str">
        <v>Sin usuario</v>
      </c>
    </row>
    <row r="3">
      <c r="A3" s="28" t="str">
        <v/>
      </c>
      <c r="B3" s="28" t="str">
        <v/>
      </c>
      <c r="C3" s="28" t="str">
        <v>TOTAL GENERAL</v>
      </c>
      <c r="D3" s="28" t="str">
        <v/>
      </c>
      <c r="E3" s="28" t="str">
        <v/>
      </c>
      <c r="F3" s="34">
        <f>SUM(F2:F2)</f>
        <v>0</v>
      </c>
      <c r="G3" s="35">
        <f>SUM(G2:G2)</f>
        <v>0</v>
      </c>
      <c r="H3" s="29" t="str">
        <v/>
      </c>
      <c r="I3" s="33">
        <f>SUM(I2:I2)</f>
      </c>
      <c r="J3" s="33">
        <f>SUM(J2:J2)</f>
      </c>
      <c r="K3" s="32">
        <f>SUM(K2:K2)</f>
      </c>
      <c r="L3" s="32">
        <f>SUM(L2:L2)</f>
      </c>
      <c r="M3" s="32">
        <f>SUM(M2:M2)</f>
      </c>
      <c r="N3" s="29" t="str">
        <v/>
      </c>
    </row>
  </sheetData>
  <pageMargins left="0.5" right="0.5" top="0.7" bottom="0.7" header="0.3" footer="0.3"/>
  <ignoredErrors>
    <ignoredError numberStoredAsText="1" sqref="A1:N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2.83203125" customWidth="1"/>
    <col min="2" max="2" width="12.83203125" customWidth="1"/>
    <col min="3" max="3" width="27.83203125" customWidth="1"/>
    <col min="4" max="4" width="18.83203125" customWidth="1"/>
    <col min="5" max="5" width="24.83203125" customWidth="1"/>
    <col min="6" max="6" width="24.83203125" customWidth="1"/>
    <col min="7" max="7" width="21.83203125" customWidth="1"/>
    <col min="8" max="8" width="20.83203125" customWidth="1"/>
    <col min="9" max="9" width="22.83203125" customWidth="1"/>
    <col min="10" max="10" width="12.83203125" customWidth="1"/>
    <col min="11" max="11" width="25.83203125" customWidth="1"/>
  </cols>
  <sheetData>
    <row r="1">
      <c r="A1" s="14" t="str">
        <v>N°</v>
      </c>
      <c r="B1" s="14" t="str">
        <v>ID</v>
      </c>
      <c r="C1" s="14" t="str">
        <v>Banco</v>
      </c>
      <c r="D1" s="14" t="str">
        <v>Tipo de Método</v>
      </c>
      <c r="E1" s="14" t="str">
        <v>Titular de la Cuenta</v>
      </c>
      <c r="F1" s="14" t="str">
        <v>Cédula / RIF Titular</v>
      </c>
      <c r="G1" s="14" t="str">
        <v>Teléfono Asociado</v>
      </c>
      <c r="H1" s="14" t="str">
        <v>Número de Cuenta</v>
      </c>
      <c r="I1" s="14" t="str">
        <v>Correo Electrónico</v>
      </c>
      <c r="J1" s="14" t="str">
        <v>Estado</v>
      </c>
      <c r="K1" s="14" t="str">
        <v>Instrucciones de Pago</v>
      </c>
    </row>
    <row r="2">
      <c r="A2" s="24">
        <v>1</v>
      </c>
      <c r="B2" s="25" t="str">
        <v/>
      </c>
      <c r="C2" s="16" t="str">
        <v>Sin cuentas registradas</v>
      </c>
      <c r="D2" s="25" t="str">
        <v/>
      </c>
      <c r="E2" s="25" t="str">
        <v/>
      </c>
      <c r="F2" s="25" t="str">
        <v/>
      </c>
      <c r="G2" s="25" t="str">
        <v/>
      </c>
      <c r="H2" s="25" t="str">
        <v/>
      </c>
      <c r="I2" s="25" t="str">
        <v/>
      </c>
      <c r="J2" s="25" t="str">
        <v/>
      </c>
      <c r="K2" s="25" t="str">
        <v/>
      </c>
    </row>
  </sheetData>
  <pageMargins left="0.5" right="0.5" top="0.7" bottom="0.7" header="0.3" footer="0.3"/>
  <ignoredErrors>
    <ignoredError numberStoredAsText="1" sqref="A1:K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8.83203125" customWidth="1"/>
    <col min="5" max="5" width="18.83203125" customWidth="1"/>
    <col min="6" max="6" width="21.83203125" customWidth="1"/>
    <col min="7" max="7" width="15.83203125" customWidth="1"/>
    <col min="8" max="8" width="23.83203125" customWidth="1"/>
    <col min="9" max="9" width="20.83203125" customWidth="1"/>
    <col min="10" max="10" width="22.83203125" customWidth="1"/>
    <col min="11" max="11" width="25.83203125" customWidth="1"/>
    <col min="12" max="12" width="33.83203125" customWidth="1"/>
    <col min="13" max="13" width="23.83203125" customWidth="1"/>
  </cols>
  <sheetData>
    <row r="1">
      <c r="A1" s="14" t="str">
        <v>N°</v>
      </c>
      <c r="B1" s="14" t="str">
        <v>ID Venta</v>
      </c>
      <c r="C1" s="14" t="str">
        <v>Fecha y Hora</v>
      </c>
      <c r="D1" s="14" t="str">
        <v>Cédula Cliente</v>
      </c>
      <c r="E1" s="14" t="str">
        <v>Nombre Cliente</v>
      </c>
      <c r="F1" s="14" t="str">
        <v>Condición de Pago</v>
      </c>
      <c r="G1" s="14" t="str">
        <v>Estado Pago</v>
      </c>
      <c r="H1" s="14" t="str">
        <v>Total Venta ($ USD)</v>
      </c>
      <c r="I1" s="14" t="str">
        <v>Total Venta (Bs)</v>
      </c>
      <c r="J1" s="14" t="str">
        <v>Tasa Cambio (Bs/$)</v>
      </c>
      <c r="K1" s="14" t="str">
        <v>Cantidad de Artículos</v>
      </c>
      <c r="L1" s="14" t="str">
        <v>Detalle de Productos Vendidos</v>
      </c>
      <c r="M1" s="14" t="str">
        <v>Vendedor / Operador</v>
      </c>
    </row>
    <row r="2">
      <c r="A2" s="24">
        <v>1</v>
      </c>
      <c r="B2" s="25" t="str">
        <v/>
      </c>
      <c r="C2" s="25" t="str">
        <v/>
      </c>
      <c r="D2" s="25" t="str">
        <v/>
      </c>
      <c r="E2" s="16" t="str">
        <v>Sin ventas</v>
      </c>
      <c r="F2" s="25" t="str">
        <v/>
      </c>
      <c r="G2" s="25" t="str">
        <v/>
      </c>
      <c r="H2" s="23">
        <v>0</v>
      </c>
      <c r="I2" s="19">
        <v>0</v>
      </c>
      <c r="J2" s="19">
        <v>0</v>
      </c>
      <c r="K2" s="24">
        <v>0</v>
      </c>
      <c r="L2" s="16" t="str">
        <v/>
      </c>
      <c r="M2" s="25" t="str">
        <v/>
      </c>
    </row>
    <row r="3">
      <c r="A3" s="28" t="str">
        <v/>
      </c>
      <c r="B3" s="28" t="str">
        <v/>
      </c>
      <c r="C3" s="28" t="str">
        <v/>
      </c>
      <c r="D3" s="28" t="str">
        <v/>
      </c>
      <c r="E3" s="28" t="str">
        <v>TOTALES FACTURACIÓN</v>
      </c>
      <c r="F3" s="28" t="str">
        <v/>
      </c>
      <c r="G3" s="28" t="str">
        <v/>
      </c>
      <c r="H3" s="34">
        <f>SUM(H2:H2)</f>
        <v>0</v>
      </c>
      <c r="I3" s="36">
        <f>SUM(I2:I2)</f>
        <v>0</v>
      </c>
      <c r="J3" s="37" t="str">
        <v/>
      </c>
      <c r="K3" s="32">
        <f>SUM(K2:K2)</f>
      </c>
      <c r="L3" s="29" t="str">
        <v/>
      </c>
      <c r="M3" s="29" t="str">
        <v/>
      </c>
    </row>
  </sheetData>
  <pageMargins left="0.5" right="0.5" top="0.7" bottom="0.7" header="0.3" footer="0.3"/>
  <ignoredErrors>
    <ignoredError numberStoredAsText="1" sqref="A1:M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8.83203125" customWidth="1"/>
    <col min="5" max="5" width="18.83203125" customWidth="1"/>
    <col min="6" max="6" width="25.83203125" customWidth="1"/>
    <col min="7" max="7" width="22.83203125" customWidth="1"/>
    <col min="8" max="8" width="24.83203125" customWidth="1"/>
    <col min="9" max="9" width="23.83203125" customWidth="1"/>
    <col min="10" max="10" width="18.83203125" customWidth="1"/>
    <col min="11" max="11" width="26.83203125" customWidth="1"/>
    <col min="12" max="12" width="26.83203125" customWidth="1"/>
    <col min="13" max="13" width="12.83203125" customWidth="1"/>
    <col min="14" max="14" width="18.83203125" customWidth="1"/>
  </cols>
  <sheetData>
    <row r="1">
      <c r="A1" s="14" t="str">
        <v>N°</v>
      </c>
      <c r="B1" s="14" t="str">
        <v>ID Abono</v>
      </c>
      <c r="C1" s="14" t="str">
        <v>Fecha y Hora</v>
      </c>
      <c r="D1" s="14" t="str">
        <v>Cédula Cliente</v>
      </c>
      <c r="E1" s="14" t="str">
        <v>Nombre Cliente</v>
      </c>
      <c r="F1" s="14" t="str">
        <v>Monto Abonado ($ USD)</v>
      </c>
      <c r="G1" s="14" t="str">
        <v>Monto Abonado (Bs)</v>
      </c>
      <c r="H1" s="14" t="str">
        <v>Tasa Aplicada (Bs/$)</v>
      </c>
      <c r="I1" s="14" t="str">
        <v>Referencia Bancaria</v>
      </c>
      <c r="J1" s="14" t="str">
        <v>Banco / Método</v>
      </c>
      <c r="K1" s="14" t="str">
        <v>Saldo Anterior ($ USD)</v>
      </c>
      <c r="L1" s="14" t="str">
        <v>Saldo Restante ($ USD)</v>
      </c>
      <c r="M1" s="14" t="str">
        <v>Estado</v>
      </c>
      <c r="N1" s="14" t="str">
        <v>Registrado Por</v>
      </c>
    </row>
    <row r="2">
      <c r="A2" s="24">
        <v>1</v>
      </c>
      <c r="B2" s="38" t="str">
        <v/>
      </c>
      <c r="C2" s="25" t="str">
        <v/>
      </c>
      <c r="D2" s="25" t="str">
        <v/>
      </c>
      <c r="E2" s="16" t="str">
        <v>Sin abonos</v>
      </c>
      <c r="F2" s="23">
        <v>0</v>
      </c>
      <c r="G2" s="19">
        <v>0</v>
      </c>
      <c r="H2" s="19">
        <v>0</v>
      </c>
      <c r="I2" s="25" t="str">
        <v/>
      </c>
      <c r="J2" s="25" t="str">
        <v/>
      </c>
      <c r="K2" s="23">
        <v>0</v>
      </c>
      <c r="L2" s="23">
        <v>0</v>
      </c>
      <c r="M2" s="25" t="str">
        <v/>
      </c>
      <c r="N2" s="25" t="str">
        <v/>
      </c>
    </row>
    <row r="3">
      <c r="A3" s="28" t="str">
        <v/>
      </c>
      <c r="B3" s="39" t="str">
        <v/>
      </c>
      <c r="C3" s="29" t="str">
        <v/>
      </c>
      <c r="D3" s="29" t="str">
        <v/>
      </c>
      <c r="E3" s="29" t="str">
        <v>TOTAL ABONADO</v>
      </c>
      <c r="F3" s="33">
        <f>SUM(F2:F2)</f>
        <v>0</v>
      </c>
      <c r="G3" s="35">
        <f>SUM(G2:G2)</f>
      </c>
      <c r="H3" s="37" t="str">
        <v/>
      </c>
      <c r="I3" s="29" t="str">
        <v/>
      </c>
      <c r="J3" s="29" t="str">
        <v/>
      </c>
      <c r="K3" s="30" t="str">
        <v/>
      </c>
      <c r="L3" s="30" t="str">
        <v/>
      </c>
      <c r="M3" s="29" t="str">
        <v/>
      </c>
      <c r="N3" s="29" t="str">
        <v/>
      </c>
    </row>
  </sheetData>
  <pageMargins left="0.5" right="0.5" top="0.7" bottom="0.7" header="0.3" footer="0.3"/>
  <ignoredErrors>
    <ignoredError numberStoredAsText="1" sqref="A1:N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2.83203125" customWidth="1"/>
    <col min="2" max="2" width="14.83203125" customWidth="1"/>
    <col min="3" max="3" width="16.83203125" customWidth="1"/>
    <col min="4" max="4" width="21.83203125" customWidth="1"/>
    <col min="5" max="5" width="16.83203125" customWidth="1"/>
    <col min="6" max="6" width="17.83203125" customWidth="1"/>
    <col min="7" max="7" width="18.83203125" customWidth="1"/>
    <col min="8" max="8" width="12.83203125" customWidth="1"/>
    <col min="9" max="9" width="23.83203125" customWidth="1"/>
    <col min="10" max="10" width="12.83203125" customWidth="1"/>
    <col min="11" max="11" width="18.83203125" customWidth="1"/>
  </cols>
  <sheetData>
    <row r="1">
      <c r="A1" s="14" t="str">
        <v>N°</v>
      </c>
      <c r="B1" s="14" t="str">
        <v>Referencia</v>
      </c>
      <c r="C1" s="14" t="str">
        <v>Fecha y Hora</v>
      </c>
      <c r="D1" s="14" t="str">
        <v>Cliente</v>
      </c>
      <c r="E1" s="14" t="str">
        <v>Banco Origen</v>
      </c>
      <c r="F1" s="14" t="str">
        <v>Banco Destino</v>
      </c>
      <c r="G1" s="14" t="str">
        <v>Monto Original</v>
      </c>
      <c r="H1" s="14" t="str">
        <v>Moneda</v>
      </c>
      <c r="I1" s="14" t="str">
        <v>Monto ($ USD Equiv)</v>
      </c>
      <c r="J1" s="14" t="str">
        <v>Estado</v>
      </c>
      <c r="K1" s="14" t="str">
        <v>Tipo Operación</v>
      </c>
    </row>
    <row r="2">
      <c r="A2" s="24">
        <v>1</v>
      </c>
      <c r="B2" s="25" t="str">
        <v/>
      </c>
      <c r="C2" s="25" t="str">
        <v/>
      </c>
      <c r="D2" s="16" t="str">
        <v>Sin transacciones</v>
      </c>
      <c r="E2" s="25" t="str">
        <v/>
      </c>
      <c r="F2" s="25" t="str">
        <v/>
      </c>
      <c r="G2" s="21">
        <v>0</v>
      </c>
      <c r="H2" s="25" t="str">
        <v>VES</v>
      </c>
      <c r="I2" s="21">
        <v>0</v>
      </c>
      <c r="J2" s="25" t="str">
        <v/>
      </c>
      <c r="K2" s="25" t="str">
        <v/>
      </c>
    </row>
    <row r="3">
      <c r="A3" s="28" t="str">
        <v/>
      </c>
      <c r="B3" s="28" t="str">
        <v/>
      </c>
      <c r="C3" s="28" t="str">
        <v/>
      </c>
      <c r="D3" s="28" t="str">
        <v/>
      </c>
      <c r="E3" s="28" t="str">
        <v/>
      </c>
      <c r="F3" s="28" t="str">
        <v>TOTAL RECAUDADO EQUIV</v>
      </c>
      <c r="G3" s="28" t="str">
        <v/>
      </c>
      <c r="H3" s="28" t="str">
        <v/>
      </c>
      <c r="I3" s="34">
        <f>SUM(I2:I2)</f>
      </c>
      <c r="J3" s="28" t="str">
        <v/>
      </c>
      <c r="K3" s="28" t="str">
        <v/>
      </c>
    </row>
  </sheetData>
  <pageMargins left="0.5" right="0.5" top="0.7" bottom="0.7" header="0.3" footer="0.3"/>
  <ignoredErrors>
    <ignoredError numberStoredAsText="1" sqref="A1:K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2.83203125" customWidth="1"/>
    <col min="2" max="2" width="16.83203125" customWidth="1"/>
    <col min="3" max="3" width="26.83203125" customWidth="1"/>
    <col min="4" max="4" width="23.83203125" customWidth="1"/>
    <col min="5" max="5" width="21.83203125" customWidth="1"/>
    <col min="6" max="6" width="20.83203125" customWidth="1"/>
    <col min="7" max="7" width="22.83203125" customWidth="1"/>
    <col min="8" max="8" width="19.83203125" customWidth="1"/>
    <col min="9" max="9" width="18.83203125" customWidth="1"/>
    <col min="10" max="10" width="29.83203125" customWidth="1"/>
    <col min="11" max="11" width="22.83203125" customWidth="1"/>
  </cols>
  <sheetData>
    <row r="1">
      <c r="A1" s="14" t="str">
        <v>N°</v>
      </c>
      <c r="B1" s="14" t="str">
        <v>Cédula / RIF</v>
      </c>
      <c r="C1" s="14" t="str">
        <v>Nombre Cliente</v>
      </c>
      <c r="D1" s="14" t="str">
        <v>Teléfono (WhatsApp)</v>
      </c>
      <c r="E1" s="14" t="str">
        <v>Puntos Acumulados</v>
      </c>
      <c r="F1" s="14" t="str">
        <v>Puntos Canjeados</v>
      </c>
      <c r="G1" s="14" t="str">
        <v>Puntos Disponibles</v>
      </c>
      <c r="H1" s="14" t="str">
        <v>Premio en Juego</v>
      </c>
      <c r="I1" s="14" t="str">
        <v>Meta de Puntos</v>
      </c>
      <c r="J1" s="14" t="str">
        <v>Progreso hacia Premio (%)</v>
      </c>
      <c r="K1" s="14" t="str">
        <v>Nivel de Fidelidad</v>
      </c>
    </row>
    <row r="2">
      <c r="A2" s="24">
        <v>1</v>
      </c>
      <c r="B2" s="25" t="str">
        <v/>
      </c>
      <c r="C2" s="16" t="str">
        <v>Sin clientes en puntos</v>
      </c>
      <c r="D2" s="25" t="str">
        <v/>
      </c>
      <c r="E2" s="24">
        <v>0</v>
      </c>
      <c r="F2" s="24">
        <v>0</v>
      </c>
      <c r="G2" s="24">
        <v>0</v>
      </c>
      <c r="H2" s="25" t="str">
        <v/>
      </c>
      <c r="I2" s="24">
        <v>0</v>
      </c>
      <c r="J2" s="26">
        <v>0</v>
      </c>
      <c r="K2" s="25" t="str">
        <v/>
      </c>
    </row>
    <row r="3">
      <c r="A3" s="28" t="str">
        <v/>
      </c>
      <c r="B3" s="28" t="str">
        <v/>
      </c>
      <c r="C3" s="28" t="str">
        <v/>
      </c>
      <c r="D3" s="28" t="str">
        <v>TOTALES</v>
      </c>
      <c r="E3" s="40">
        <f>SUM(E2:E2)</f>
      </c>
      <c r="F3" s="32">
        <f>SUM(F2:F2)</f>
      </c>
      <c r="G3" s="32">
        <f>SUM(G2:G2)</f>
      </c>
      <c r="H3" s="29" t="str">
        <v/>
      </c>
      <c r="I3" s="29" t="str">
        <v/>
      </c>
      <c r="J3" s="41" t="str">
        <v/>
      </c>
      <c r="K3" s="29" t="str">
        <v/>
      </c>
    </row>
  </sheetData>
  <pageMargins left="0.5" right="0.5" top="0.7" bottom="0.7" header="0.3" footer="0.3"/>
  <ignoredErrors>
    <ignoredError numberStoredAsText="1" sqref="A1:K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2.83203125" customWidth="1"/>
    <col min="2" max="2" width="12.83203125" customWidth="1"/>
    <col min="3" max="3" width="15.83203125" customWidth="1"/>
    <col min="4" max="4" width="18.83203125" customWidth="1"/>
    <col min="5" max="5" width="18.83203125" customWidth="1"/>
    <col min="6" max="6" width="19.83203125" customWidth="1"/>
    <col min="7" max="7" width="20.83203125" customWidth="1"/>
    <col min="8" max="8" width="21.83203125" customWidth="1"/>
  </cols>
  <sheetData>
    <row r="1">
      <c r="A1" s="14" t="str">
        <v>N°</v>
      </c>
      <c r="B1" s="14" t="str">
        <v>ID Canje</v>
      </c>
      <c r="C1" s="14" t="str">
        <v>Fecha Canje</v>
      </c>
      <c r="D1" s="14" t="str">
        <v>Cédula Cliente</v>
      </c>
      <c r="E1" s="14" t="str">
        <v>Nombre Cliente</v>
      </c>
      <c r="F1" s="14" t="str">
        <v>Premio Canjeado</v>
      </c>
      <c r="G1" s="14" t="str">
        <v>Puntos Deducidos</v>
      </c>
      <c r="H1" s="14" t="str">
        <v>Estado de Entrega</v>
      </c>
    </row>
    <row r="2">
      <c r="A2" s="24">
        <v>1</v>
      </c>
      <c r="B2" s="25" t="str">
        <v/>
      </c>
      <c r="C2" s="25" t="str">
        <v/>
      </c>
      <c r="D2" s="25" t="str">
        <v/>
      </c>
      <c r="E2" s="16" t="str">
        <v>Sin canjes</v>
      </c>
      <c r="F2" s="25" t="str">
        <v/>
      </c>
      <c r="G2" s="24">
        <v>0</v>
      </c>
      <c r="H2" s="25" t="str">
        <v/>
      </c>
    </row>
    <row r="3">
      <c r="A3" s="28" t="str">
        <v/>
      </c>
      <c r="B3" s="28" t="str">
        <v/>
      </c>
      <c r="C3" s="28" t="str">
        <v/>
      </c>
      <c r="D3" s="28" t="str">
        <v/>
      </c>
      <c r="E3" s="28" t="str">
        <v/>
      </c>
      <c r="F3" s="28" t="str">
        <v>TOTAL PUNTOS CANJEADOS</v>
      </c>
      <c r="G3" s="40">
        <f>SUM(G2:G2)</f>
      </c>
      <c r="H3" s="28" t="str">
        <v/>
      </c>
    </row>
  </sheetData>
  <pageMargins left="0.5" right="0.5" top="0.7" bottom="0.7" header="0.3" footer="0.3"/>
  <ignoredErrors>
    <ignoredError numberStoredAsText="1" sqref="A1:H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2.83203125" customWidth="1"/>
    <col min="2" max="2" width="24.83203125" customWidth="1"/>
    <col min="3" max="3" width="20.83203125" customWidth="1"/>
    <col min="4" max="4" width="15.83203125" customWidth="1"/>
    <col min="5" max="5" width="25.83203125" customWidth="1"/>
    <col min="6" max="6" width="22.83203125" customWidth="1"/>
    <col min="7" max="7" width="21.83203125" customWidth="1"/>
    <col min="8" max="8" width="19.83203125" customWidth="1"/>
    <col min="9" max="9" width="24.83203125" customWidth="1"/>
    <col min="10" max="10" width="17.83203125" customWidth="1"/>
  </cols>
  <sheetData>
    <row r="1">
      <c r="A1" s="14" t="str">
        <v>N°</v>
      </c>
      <c r="B1" s="14" t="str">
        <v>N° Factura / Control</v>
      </c>
      <c r="C1" s="14" t="str">
        <v>Fecha de Emisión</v>
      </c>
      <c r="D1" s="14" t="str">
        <v>Proveedor</v>
      </c>
      <c r="E1" s="14" t="str">
        <v>Total Factura ($ USD)</v>
      </c>
      <c r="F1" s="14" t="str">
        <v>Total Factura (Bs)</v>
      </c>
      <c r="G1" s="14" t="str">
        <v>Cantidad de Ítems</v>
      </c>
      <c r="H1" s="14" t="str">
        <v>Método de Costo</v>
      </c>
      <c r="I1" s="14" t="str">
        <v>Detalle de Mercancía</v>
      </c>
      <c r="J1" s="14" t="str">
        <v>Observaciones</v>
      </c>
    </row>
    <row r="2">
      <c r="A2" s="24">
        <v>1</v>
      </c>
      <c r="B2" s="25" t="str">
        <v/>
      </c>
      <c r="C2" s="25" t="str">
        <v/>
      </c>
      <c r="D2" s="25" t="str">
        <v>Sin compras</v>
      </c>
      <c r="E2" s="23">
        <v>0</v>
      </c>
      <c r="F2" s="19">
        <f>E2*Resumen_General!$B$4</f>
        <v>0</v>
      </c>
      <c r="G2" s="24">
        <v>0</v>
      </c>
      <c r="H2" s="38" t="str">
        <v/>
      </c>
      <c r="I2" s="16" t="str">
        <v/>
      </c>
      <c r="J2" s="25" t="str">
        <v/>
      </c>
    </row>
    <row r="3">
      <c r="A3" s="28" t="str">
        <v/>
      </c>
      <c r="B3" s="28" t="str">
        <v/>
      </c>
      <c r="C3" s="28" t="str">
        <v/>
      </c>
      <c r="D3" s="28" t="str">
        <v>TOTAL COMPRAS</v>
      </c>
      <c r="E3" s="34">
        <f>SUM(E2:E2)</f>
        <v>0</v>
      </c>
      <c r="F3" s="36">
        <f>SUM(F2:F2)</f>
      </c>
      <c r="G3" s="40">
        <f>SUM(G2:G2)</f>
      </c>
      <c r="H3" s="39" t="str">
        <v/>
      </c>
      <c r="I3" s="28" t="str">
        <v/>
      </c>
      <c r="J3" s="28" t="str">
        <v/>
      </c>
    </row>
  </sheetData>
  <pageMargins left="0.5" right="0.5" top="0.7" bottom="0.7" header="0.3" footer="0.3"/>
  <ignoredErrors>
    <ignoredError numberStoredAsText="1" sqref="A1:J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2.83203125" customWidth="1"/>
    <col min="2" max="2" width="16.83203125" customWidth="1"/>
    <col min="3" max="3" width="25.83203125" customWidth="1"/>
    <col min="4" max="4" width="24.83203125" customWidth="1"/>
    <col min="5" max="5" width="23.83203125" customWidth="1"/>
    <col min="6" max="6" width="23.83203125" customWidth="1"/>
    <col min="7" max="7" width="25.83203125" customWidth="1"/>
    <col min="8" max="8" width="21.83203125" customWidth="1"/>
    <col min="9" max="9" width="12.83203125" customWidth="1"/>
  </cols>
  <sheetData>
    <row r="1">
      <c r="A1" s="14" t="str">
        <v>N°</v>
      </c>
      <c r="B1" s="14" t="str">
        <v>ID Proveedor</v>
      </c>
      <c r="C1" s="14" t="str">
        <v>Nombre / Razón Social</v>
      </c>
      <c r="D1" s="14" t="str">
        <v>RIF / Identificación</v>
      </c>
      <c r="E1" s="14" t="str">
        <v>Teléfono / WhatsApp</v>
      </c>
      <c r="F1" s="14" t="str">
        <v>Persona de Contacto</v>
      </c>
      <c r="G1" s="14" t="str">
        <v>Dirección / Ubicación</v>
      </c>
      <c r="H1" s="14" t="str">
        <v>Notas Comerciales</v>
      </c>
      <c r="I1" s="14" t="str">
        <v>Estado</v>
      </c>
    </row>
    <row r="2">
      <c r="A2" s="24">
        <v>1</v>
      </c>
      <c r="B2" s="25" t="str">
        <v/>
      </c>
      <c r="C2" s="16" t="str">
        <v>Sin proveedores</v>
      </c>
      <c r="D2" s="25" t="str">
        <v/>
      </c>
      <c r="E2" s="25" t="str">
        <v/>
      </c>
      <c r="F2" s="25" t="str">
        <v/>
      </c>
      <c r="G2" s="25" t="str">
        <v/>
      </c>
      <c r="H2" s="25" t="str">
        <v/>
      </c>
      <c r="I2" s="25" t="str">
        <v/>
      </c>
    </row>
  </sheetData>
  <pageMargins left="0.5" right="0.5" top="0.7" bottom="0.7" header="0.3" footer="0.3"/>
  <ignoredErrors>
    <ignoredError numberStoredAsText="1" sqref="A1:I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2.83203125" customWidth="1"/>
    <col min="2" max="2" width="16.83203125" customWidth="1"/>
    <col min="3" max="3" width="19.83203125" customWidth="1"/>
    <col min="4" max="4" width="23.83203125" customWidth="1"/>
    <col min="5" max="5" width="22.83203125" customWidth="1"/>
    <col min="6" max="6" width="22.83203125" customWidth="1"/>
    <col min="7" max="7" width="21.83203125" customWidth="1"/>
    <col min="8" max="8" width="18.83203125" customWidth="1"/>
    <col min="9" max="9" width="20.83203125" customWidth="1"/>
    <col min="10" max="10" width="26.83203125" customWidth="1"/>
    <col min="11" max="11" width="28.83203125" customWidth="1"/>
    <col min="12" max="12" width="23.83203125" customWidth="1"/>
  </cols>
  <sheetData>
    <row r="1">
      <c r="A1" s="14" t="str">
        <v>N°</v>
      </c>
      <c r="B1" s="14" t="str">
        <v>Fecha y Hora</v>
      </c>
      <c r="C1" s="14" t="str">
        <v>Código Producto</v>
      </c>
      <c r="D1" s="14" t="str">
        <v>Nombre del Producto</v>
      </c>
      <c r="E1" s="14" t="str">
        <v>Tipo de Movimiento</v>
      </c>
      <c r="F1" s="14" t="str">
        <v>Entrada (Unidades)</v>
      </c>
      <c r="G1" s="14" t="str">
        <v>Salida (Unidades)</v>
      </c>
      <c r="H1" s="14" t="str">
        <v>Stock Anterior</v>
      </c>
      <c r="I1" s="14" t="str">
        <v>Stock Resultante</v>
      </c>
      <c r="J1" s="14" t="str">
        <v>Costo Unitario ($ USD)</v>
      </c>
      <c r="K1" s="14" t="str">
        <v>Valor Movimiento ($ USD)</v>
      </c>
      <c r="L1" s="14" t="str">
        <v>Referencia / Motivo</v>
      </c>
    </row>
    <row r="2">
      <c r="A2" s="24">
        <v>1</v>
      </c>
      <c r="B2" s="25" t="str">
        <v/>
      </c>
      <c r="C2" s="25" t="str">
        <v/>
      </c>
      <c r="D2" s="16" t="str">
        <v>Sin movimientos</v>
      </c>
      <c r="E2" s="25" t="str">
        <v/>
      </c>
      <c r="F2" s="24">
        <v>0</v>
      </c>
      <c r="G2" s="24">
        <v>0</v>
      </c>
      <c r="H2" s="24">
        <v>0</v>
      </c>
      <c r="I2" s="24">
        <f>H2+F2-G2</f>
        <v>0</v>
      </c>
      <c r="J2" s="23">
        <v>0</v>
      </c>
      <c r="K2" s="23">
        <f>MAX(F2,G2)*J2</f>
        <v>0</v>
      </c>
      <c r="L2" s="25" t="str">
        <v/>
      </c>
    </row>
    <row r="3">
      <c r="A3" s="28" t="str">
        <v/>
      </c>
      <c r="B3" s="28" t="str">
        <v/>
      </c>
      <c r="C3" s="28" t="str">
        <v/>
      </c>
      <c r="D3" s="28" t="str">
        <v/>
      </c>
      <c r="E3" s="28" t="str">
        <v>TOTALES</v>
      </c>
      <c r="F3" s="40">
        <f>SUM(F2:F2)</f>
      </c>
      <c r="G3" s="40">
        <f>SUM(G2:G2)</f>
      </c>
      <c r="H3" s="28" t="str">
        <v/>
      </c>
      <c r="I3" s="28" t="str">
        <v/>
      </c>
      <c r="J3" s="39" t="str">
        <v/>
      </c>
      <c r="K3" s="34">
        <f>SUM(K2:K2)</f>
      </c>
      <c r="L3" s="28" t="str">
        <v/>
      </c>
    </row>
  </sheetData>
  <pageMargins left="0.5" right="0.5" top="0.7" bottom="0.7" header="0.3" footer="0.3"/>
  <ignoredErrors>
    <ignoredError numberStoredAsText="1" sqref="A1:L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8.83203125" customWidth="1"/>
    <col min="5" max="5" width="29.83203125" customWidth="1"/>
    <col min="6" max="6" width="29.83203125" customWidth="1"/>
    <col min="7" max="7" width="29.83203125" customWidth="1"/>
    <col min="8" max="8" width="17.83203125" customWidth="1"/>
  </cols>
  <sheetData>
    <row r="1">
      <c r="A1" s="14" t="str">
        <v>N°</v>
      </c>
      <c r="B1" s="14" t="str">
        <v>ID Auditoría</v>
      </c>
      <c r="C1" s="14" t="str">
        <v>Fecha y Hora</v>
      </c>
      <c r="D1" s="14" t="str">
        <v>Responsable</v>
      </c>
      <c r="E1" s="14" t="str">
        <v>Total Productos Auditados</v>
      </c>
      <c r="F1" s="14" t="str">
        <v>Productos con Diferencias</v>
      </c>
      <c r="G1" s="14" t="str">
        <v>Impacto Económico ($ USD)</v>
      </c>
      <c r="H1" s="14" t="str">
        <v>Observaciones</v>
      </c>
    </row>
    <row r="2">
      <c r="A2" s="24">
        <v>1</v>
      </c>
      <c r="B2" s="25" t="str">
        <v/>
      </c>
      <c r="C2" s="25" t="str">
        <v/>
      </c>
      <c r="D2" s="25" t="str">
        <v>Sin auditorías</v>
      </c>
      <c r="E2" s="21">
        <v>0</v>
      </c>
      <c r="F2" s="21">
        <v>0</v>
      </c>
      <c r="G2" s="23">
        <v>0</v>
      </c>
      <c r="H2" s="25" t="str">
        <v/>
      </c>
    </row>
    <row r="3">
      <c r="A3" s="28" t="str">
        <v/>
      </c>
      <c r="B3" s="28" t="str">
        <v/>
      </c>
      <c r="C3" s="28" t="str">
        <v/>
      </c>
      <c r="D3" s="28" t="str">
        <v>TOTAL IMPACTO</v>
      </c>
      <c r="E3" s="40">
        <f>SUM(E2:E2)</f>
      </c>
      <c r="F3" s="40">
        <f>SUM(F2:F2)</f>
      </c>
      <c r="G3" s="34">
        <f>SUM(G2:G2)</f>
      </c>
      <c r="H3" s="28" t="str">
        <v/>
      </c>
    </row>
  </sheetData>
  <pageMargins left="0.5" right="0.5" top="0.7" bottom="0.7" header="0.3" footer="0.3"/>
  <ignoredErrors>
    <ignoredError numberStoredAsText="1" sqref="A1:H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5.83203125" customWidth="1"/>
    <col min="2" max="2" width="16.83203125" customWidth="1"/>
    <col min="3" max="3" width="19.83203125" customWidth="1"/>
    <col min="4" max="4" width="26.83203125" customWidth="1"/>
    <col min="5" max="5" width="16.83203125" customWidth="1"/>
    <col min="6" max="6" width="12.83203125" customWidth="1"/>
    <col min="7" max="7" width="29.83203125" customWidth="1"/>
    <col min="8" max="8" width="12.83203125" customWidth="1"/>
    <col min="9" max="9" width="18.83203125" customWidth="1"/>
  </cols>
  <sheetData>
    <row r="1">
      <c r="A1" s="14" t="str">
        <v>ID Registro</v>
      </c>
      <c r="B1" s="14" t="str">
        <v>Fecha y Hora</v>
      </c>
      <c r="C1" s="14" t="str">
        <v>Código / Cédula</v>
      </c>
      <c r="D1" s="14" t="str">
        <v>Nombre / Concepto</v>
      </c>
      <c r="E1" s="14" t="str">
        <v>Tipo de Baja</v>
      </c>
      <c r="F1" s="14" t="str">
        <v>Cantidad</v>
      </c>
      <c r="G1" s="14" t="str">
        <v>Pérdida Económica ($ USD)</v>
      </c>
      <c r="H1" s="14" t="str">
        <v>Motivo</v>
      </c>
      <c r="I1" s="14" t="str">
        <v>Registrado Por</v>
      </c>
    </row>
    <row r="2">
      <c r="A2" s="25" t="str">
        <v/>
      </c>
      <c r="B2" s="25" t="str">
        <v/>
      </c>
      <c r="C2" s="25" t="str">
        <v/>
      </c>
      <c r="D2" s="16" t="str">
        <v>Sin mermas registradas</v>
      </c>
      <c r="E2" s="25" t="str">
        <v/>
      </c>
      <c r="F2" s="24">
        <v>0</v>
      </c>
      <c r="G2" s="23">
        <v>0</v>
      </c>
      <c r="H2" s="25" t="str">
        <v/>
      </c>
      <c r="I2" s="25" t="str">
        <v/>
      </c>
    </row>
    <row r="3">
      <c r="A3" s="28" t="str">
        <v/>
      </c>
      <c r="B3" s="28" t="str">
        <v/>
      </c>
      <c r="C3" s="28" t="str">
        <v/>
      </c>
      <c r="D3" s="28" t="str">
        <v/>
      </c>
      <c r="E3" s="28" t="str">
        <v>TOTAL PÉRDIDAS</v>
      </c>
      <c r="F3" s="40">
        <f>SUM(F2:F2)</f>
      </c>
      <c r="G3" s="34">
        <f>SUM(G2:G2)</f>
      </c>
      <c r="H3" s="28" t="str">
        <v/>
      </c>
      <c r="I3" s="28" t="str">
        <v/>
      </c>
    </row>
  </sheetData>
  <pageMargins left="0.5" right="0.5" top="0.7" bottom="0.7" header="0.3" footer="0.3"/>
  <ignoredErrors>
    <ignoredError numberStoredAsText="1" sqref="A1:I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2.83203125" customWidth="1"/>
    <col min="2" max="2" width="21.83203125" customWidth="1"/>
    <col min="3" max="3" width="36.83203125" customWidth="1"/>
    <col min="4" max="4" width="12.83203125" customWidth="1"/>
    <col min="5" max="5" width="22.83203125" customWidth="1"/>
    <col min="6" max="6" width="12.83203125" customWidth="1"/>
    <col min="7" max="7" width="20.83203125" customWidth="1"/>
    <col min="8" max="8" width="21.83203125" customWidth="1"/>
    <col min="9" max="9" width="20.83203125" customWidth="1"/>
    <col min="10" max="10" width="21.83203125" customWidth="1"/>
  </cols>
  <sheetData>
    <row r="1">
      <c r="A1" s="14" t="str">
        <v>N°</v>
      </c>
      <c r="B1" s="14" t="str">
        <v>Cédula / RIF / ID</v>
      </c>
      <c r="C1" s="14" t="str">
        <v>Nombre y Apellido / Razón Social</v>
      </c>
      <c r="D1" s="14" t="str">
        <v>Teléfono</v>
      </c>
      <c r="E1" s="14" t="str">
        <v>Correo Electrónico</v>
      </c>
      <c r="F1" s="14" t="str">
        <v>Rol</v>
      </c>
      <c r="G1" s="14" t="str">
        <v>Estado de Acceso</v>
      </c>
      <c r="H1" s="14" t="str">
        <v>Puntos Acumulados</v>
      </c>
      <c r="I1" s="14" t="str">
        <v>Puntos Canjeados</v>
      </c>
      <c r="J1" s="14" t="str">
        <v>Fecha de Registro</v>
      </c>
    </row>
    <row r="2">
      <c r="A2" s="24">
        <v>1</v>
      </c>
      <c r="B2" s="25" t="str">
        <v/>
      </c>
      <c r="C2" s="16" t="str">
        <v>Sin usuarios</v>
      </c>
      <c r="D2" s="25" t="str">
        <v/>
      </c>
      <c r="E2" s="25" t="str">
        <v/>
      </c>
      <c r="F2" s="25" t="str">
        <v/>
      </c>
      <c r="G2" s="25" t="str">
        <v/>
      </c>
      <c r="H2" s="24">
        <v>0</v>
      </c>
      <c r="I2" s="24">
        <v>0</v>
      </c>
      <c r="J2" s="25" t="str">
        <v/>
      </c>
    </row>
  </sheetData>
  <pageMargins left="0.5" right="0.5" top="0.7" bottom="0.7" header="0.3" footer="0.3"/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DASHBOARD</vt:lpstr>
      <vt:lpstr>Resumen_General</vt:lpstr>
      <vt:lpstr>Inventario_Productos</vt:lpstr>
      <vt:lpstr>Clientes_CuentasCobrar</vt:lpstr>
      <vt:lpstr>Cuentas_Bancarias</vt:lpstr>
      <vt:lpstr>Ventas_Historial</vt:lpstr>
      <vt:lpstr>Pagos_Abonos</vt:lpstr>
      <vt:lpstr>Transacciones_Verificar</vt:lpstr>
      <vt:lpstr>Puntos_Fidelizacion</vt:lpstr>
      <vt:lpstr>Canjes_Premios</vt:lpstr>
      <vt:lpstr>Facturas_Compras</vt:lpstr>
      <vt:lpstr>Proveedores</vt:lpstr>
      <vt:lpstr>Kardex_Movimientos</vt:lpstr>
      <vt:lpstr>Auditorias_Inventario</vt:lpstr>
      <vt:lpstr>Mermas_Bajas</vt:lpstr>
      <vt:lpstr>Usuarios_Sistema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